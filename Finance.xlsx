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" sheetId="1" r:id="rId4"/>
    <sheet state="visible" name="2026" sheetId="2" r:id="rId5"/>
  </sheets>
  <definedNames/>
  <calcPr/>
  <extLst>
    <ext uri="GoogleSheetsCustomDataVersion2">
      <go:sheetsCustomData xmlns:go="http://customooxmlschemas.google.com/" r:id="rId6" roundtripDataChecksum="+vUXtUho7wqjmePH72RZS2BUaEmMk4wa+tm7J3tg1xs="/>
    </ext>
  </extLst>
</workbook>
</file>

<file path=xl/sharedStrings.xml><?xml version="1.0" encoding="utf-8"?>
<sst xmlns="http://schemas.openxmlformats.org/spreadsheetml/2006/main" count="65" uniqueCount="43">
  <si>
    <t>Investown</t>
  </si>
  <si>
    <t>XTB SPX500</t>
  </si>
  <si>
    <t>eToro</t>
  </si>
  <si>
    <t>Zonky</t>
  </si>
  <si>
    <t>Bondster</t>
  </si>
  <si>
    <t>Trinitiy bank spořící účet</t>
  </si>
  <si>
    <t>KB běžný účet</t>
  </si>
  <si>
    <t>KB Japan equity</t>
  </si>
  <si>
    <t>KB dluhopisový fond</t>
  </si>
  <si>
    <t>Marek Credistas spořící účet</t>
  </si>
  <si>
    <t>Creditas MAX Variant CZ</t>
  </si>
  <si>
    <t>Marek ČSOB DPS</t>
  </si>
  <si>
    <t>Moneta spořící účet</t>
  </si>
  <si>
    <t>Radka DPS ČSOB</t>
  </si>
  <si>
    <t>Radka Creditas nemovitostní fond</t>
  </si>
  <si>
    <t>Radka NN penzijko</t>
  </si>
  <si>
    <t>Radka spořící účet Creditas</t>
  </si>
  <si>
    <t>Moneta Espiria 30</t>
  </si>
  <si>
    <t>Portfolio</t>
  </si>
  <si>
    <t>Nárůst / pokles Kč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</si>
  <si>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</si>
  <si>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</si>
  <si>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</si>
  <si>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</si>
  <si>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</si>
  <si>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</si>
  <si>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</si>
  <si>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</si>
  <si>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</si>
  <si>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</si>
  <si>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</si>
  <si>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</si>
  <si>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Celkem</t>
  </si>
  <si>
    <t>Bondster CZK</t>
  </si>
  <si>
    <t>Bondster EUR ( v CZK )</t>
  </si>
  <si>
    <t>XTB SPX 500</t>
  </si>
  <si>
    <t>Amundi Japan Equity</t>
  </si>
  <si>
    <t>Creditas spořící účet</t>
  </si>
  <si>
    <t>Já ČSOB DPS</t>
  </si>
  <si>
    <t>Radka ČSOB DPS</t>
  </si>
  <si>
    <t>Radka XTB MSCI WORLD</t>
  </si>
  <si>
    <t>Radka NN pojištění</t>
  </si>
  <si>
    <t>Portfolio celkem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</si>
</sst>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_K_č"/>
    <numFmt numFmtId="165" formatCode="#,##0\ &quot;Kč&quot;"/>
  </numFmts>
  <fonts count="9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sz val="12.0"/>
      <color theme="1"/>
      <name val="Calibri"/>
    </font>
    <font>
      <b/>
      <sz val="12.0"/>
      <color rgb="FF040C28"/>
      <name val="Arial"/>
    </font>
    <font>
      <b/>
      <sz val="18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ADB9CA"/>
        <bgColor rgb="FFADB9CA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2" numFmtId="16" xfId="0" applyBorder="1" applyFont="1" applyNumberFormat="1"/>
    <xf borderId="6" fillId="4" fontId="2" numFmtId="3" xfId="0" applyAlignment="1" applyBorder="1" applyFill="1" applyFont="1" applyNumberFormat="1">
      <alignment horizontal="center" vertical="center"/>
    </xf>
    <xf borderId="7" fillId="4" fontId="2" numFmtId="3" xfId="0" applyAlignment="1" applyBorder="1" applyFont="1" applyNumberFormat="1">
      <alignment horizontal="center" vertical="center"/>
    </xf>
    <xf borderId="8" fillId="4" fontId="1" numFmtId="3" xfId="0" applyAlignment="1" applyBorder="1" applyFont="1" applyNumberFormat="1">
      <alignment horizontal="center" vertical="center"/>
    </xf>
    <xf borderId="9" fillId="4" fontId="2" numFmtId="3" xfId="0" applyAlignment="1" applyBorder="1" applyFont="1" applyNumberFormat="1">
      <alignment horizontal="center" vertical="center"/>
    </xf>
    <xf borderId="10" fillId="0" fontId="2" numFmtId="16" xfId="0" applyBorder="1" applyFont="1" applyNumberFormat="1"/>
    <xf borderId="11" fillId="4" fontId="2" numFmtId="3" xfId="0" applyAlignment="1" applyBorder="1" applyFont="1" applyNumberFormat="1">
      <alignment horizontal="center" vertical="center"/>
    </xf>
    <xf borderId="12" fillId="4" fontId="2" numFmtId="3" xfId="0" applyAlignment="1" applyBorder="1" applyFont="1" applyNumberFormat="1">
      <alignment horizontal="center" vertical="center"/>
    </xf>
    <xf borderId="13" fillId="4" fontId="1" numFmtId="3" xfId="0" applyAlignment="1" applyBorder="1" applyFont="1" applyNumberFormat="1">
      <alignment horizontal="center" vertical="center"/>
    </xf>
    <xf borderId="13" fillId="4" fontId="2" numFmtId="3" xfId="0" applyAlignment="1" applyBorder="1" applyFont="1" applyNumberFormat="1">
      <alignment horizontal="center" vertical="center"/>
    </xf>
    <xf borderId="11" fillId="0" fontId="2" numFmtId="3" xfId="0" applyAlignment="1" applyBorder="1" applyFont="1" applyNumberFormat="1">
      <alignment horizontal="center" vertical="center"/>
    </xf>
    <xf borderId="12" fillId="0" fontId="2" numFmtId="3" xfId="0" applyAlignment="1" applyBorder="1" applyFont="1" applyNumberFormat="1">
      <alignment horizontal="center" vertical="center"/>
    </xf>
    <xf borderId="12" fillId="3" fontId="2" numFmtId="3" xfId="0" applyAlignment="1" applyBorder="1" applyFont="1" applyNumberFormat="1">
      <alignment horizontal="center" vertical="center"/>
    </xf>
    <xf borderId="13" fillId="0" fontId="1" numFmtId="3" xfId="0" applyAlignment="1" applyBorder="1" applyFont="1" applyNumberFormat="1">
      <alignment horizontal="center" vertical="center"/>
    </xf>
    <xf borderId="13" fillId="0" fontId="2" numFmtId="3" xfId="0" applyAlignment="1" applyBorder="1" applyFont="1" applyNumberFormat="1">
      <alignment horizontal="center" vertical="center"/>
    </xf>
    <xf borderId="14" fillId="0" fontId="2" numFmtId="16" xfId="0" applyBorder="1" applyFont="1" applyNumberFormat="1"/>
    <xf borderId="15" fillId="0" fontId="2" numFmtId="3" xfId="0" applyAlignment="1" applyBorder="1" applyFont="1" applyNumberFormat="1">
      <alignment horizontal="center" vertical="center"/>
    </xf>
    <xf borderId="3" fillId="0" fontId="2" numFmtId="3" xfId="0" applyAlignment="1" applyBorder="1" applyFont="1" applyNumberFormat="1">
      <alignment horizontal="center" vertical="center"/>
    </xf>
    <xf borderId="3" fillId="3" fontId="2" numFmtId="3" xfId="0" applyAlignment="1" applyBorder="1" applyFont="1" applyNumberFormat="1">
      <alignment horizontal="center" vertical="center"/>
    </xf>
    <xf borderId="16" fillId="0" fontId="1" numFmtId="3" xfId="0" applyAlignment="1" applyBorder="1" applyFont="1" applyNumberFormat="1">
      <alignment horizontal="center" vertical="center"/>
    </xf>
    <xf borderId="17" fillId="0" fontId="2" numFmtId="16" xfId="0" applyBorder="1" applyFont="1" applyNumberFormat="1"/>
    <xf borderId="18" fillId="0" fontId="3" numFmtId="164" xfId="0" applyAlignment="1" applyBorder="1" applyFont="1" applyNumberFormat="1">
      <alignment horizontal="center" shrinkToFit="0" vertical="center" wrapText="1"/>
    </xf>
    <xf borderId="19" fillId="3" fontId="3" numFmtId="164" xfId="0" applyAlignment="1" applyBorder="1" applyFont="1" applyNumberFormat="1">
      <alignment horizontal="center" shrinkToFit="0" vertical="center" wrapText="1"/>
    </xf>
    <xf borderId="19" fillId="5" fontId="3" numFmtId="164" xfId="0" applyAlignment="1" applyBorder="1" applyFill="1" applyFont="1" applyNumberFormat="1">
      <alignment horizontal="center" shrinkToFit="0" vertical="center" wrapText="1"/>
    </xf>
    <xf borderId="20" fillId="6" fontId="2" numFmtId="3" xfId="0" applyAlignment="1" applyBorder="1" applyFill="1" applyFont="1" applyNumberFormat="1">
      <alignment horizontal="center" vertical="center"/>
    </xf>
    <xf borderId="0" fillId="0" fontId="4" numFmtId="16" xfId="0" applyFont="1" applyNumberFormat="1"/>
    <xf borderId="0" fillId="0" fontId="5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0" fillId="0" fontId="4" numFmtId="0" xfId="0" applyFont="1"/>
    <xf borderId="0" fillId="0" fontId="2" numFmtId="3" xfId="0" applyFont="1" applyNumberFormat="1"/>
    <xf borderId="0" fillId="0" fontId="7" numFmtId="3" xfId="0" applyFont="1" applyNumberForma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4" xfId="0" applyFont="1" applyNumberFormat="1"/>
    <xf borderId="0" fillId="0" fontId="8" numFmtId="164" xfId="0" applyFont="1" applyNumberFormat="1"/>
    <xf borderId="0" fillId="0" fontId="2" numFmtId="165" xfId="0" applyFont="1" applyNumberFormat="1"/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shrinkToFit="0" vertical="center" wrapText="1"/>
    </xf>
    <xf borderId="21" fillId="8" fontId="1" numFmtId="0" xfId="0" applyAlignment="1" applyBorder="1" applyFill="1" applyFont="1">
      <alignment horizontal="center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22" fillId="9" fontId="2" numFmtId="3" xfId="0" applyAlignment="1" applyBorder="1" applyFill="1" applyFont="1" applyNumberFormat="1">
      <alignment horizontal="center" vertical="center"/>
    </xf>
    <xf borderId="23" fillId="9" fontId="2" numFmtId="3" xfId="0" applyAlignment="1" applyBorder="1" applyFont="1" applyNumberFormat="1">
      <alignment horizontal="center" vertical="center"/>
    </xf>
    <xf borderId="24" fillId="9" fontId="1" numFmtId="3" xfId="0" applyAlignment="1" applyBorder="1" applyFont="1" applyNumberFormat="1">
      <alignment horizontal="center" vertical="center"/>
    </xf>
    <xf borderId="25" fillId="9" fontId="2" numFmtId="3" xfId="0" applyAlignment="1" applyBorder="1" applyFont="1" applyNumberFormat="1">
      <alignment horizontal="center" vertical="center"/>
    </xf>
    <xf borderId="26" fillId="9" fontId="2" numFmtId="3" xfId="0" applyAlignment="1" applyBorder="1" applyFont="1" applyNumberFormat="1">
      <alignment horizontal="center" vertical="center"/>
    </xf>
    <xf borderId="12" fillId="9" fontId="2" numFmtId="3" xfId="0" applyAlignment="1" applyBorder="1" applyFont="1" applyNumberFormat="1">
      <alignment horizontal="center" vertical="center"/>
    </xf>
    <xf borderId="27" fillId="9" fontId="1" numFmtId="3" xfId="0" applyAlignment="1" applyBorder="1" applyFont="1" applyNumberFormat="1">
      <alignment horizontal="center" vertical="center"/>
    </xf>
    <xf borderId="28" fillId="9" fontId="2" numFmtId="3" xfId="0" applyAlignment="1" applyBorder="1" applyFont="1" applyNumberFormat="1">
      <alignment horizontal="center" vertical="center"/>
    </xf>
    <xf borderId="26" fillId="9" fontId="2" numFmtId="3" xfId="0" applyAlignment="1" applyBorder="1" applyFont="1" applyNumberFormat="1">
      <alignment horizontal="center" readingOrder="0" vertical="center"/>
    </xf>
    <xf borderId="12" fillId="9" fontId="2" numFmtId="3" xfId="0" applyAlignment="1" applyBorder="1" applyFont="1" applyNumberFormat="1">
      <alignment horizontal="center" readingOrder="0" vertical="center"/>
    </xf>
    <xf borderId="26" fillId="0" fontId="2" numFmtId="3" xfId="0" applyAlignment="1" applyBorder="1" applyFont="1" applyNumberFormat="1">
      <alignment horizontal="center" readingOrder="0" vertical="center"/>
    </xf>
    <xf borderId="12" fillId="0" fontId="2" numFmtId="3" xfId="0" applyAlignment="1" applyBorder="1" applyFont="1" applyNumberFormat="1">
      <alignment horizontal="center" readingOrder="0" vertical="center"/>
    </xf>
    <xf borderId="27" fillId="0" fontId="1" numFmtId="3" xfId="0" applyAlignment="1" applyBorder="1" applyFont="1" applyNumberFormat="1">
      <alignment horizontal="center" vertical="center"/>
    </xf>
    <xf borderId="29" fillId="0" fontId="2" numFmtId="3" xfId="0" applyAlignment="1" applyBorder="1" applyFont="1" applyNumberFormat="1">
      <alignment horizontal="center" vertical="center"/>
    </xf>
    <xf borderId="26" fillId="0" fontId="2" numFmtId="3" xfId="0" applyAlignment="1" applyBorder="1" applyFont="1" applyNumberFormat="1">
      <alignment horizontal="center" vertical="center"/>
    </xf>
    <xf borderId="30" fillId="0" fontId="2" numFmtId="3" xfId="0" applyAlignment="1" applyBorder="1" applyFont="1" applyNumberFormat="1">
      <alignment horizontal="center" vertical="center"/>
    </xf>
    <xf borderId="31" fillId="0" fontId="2" numFmtId="3" xfId="0" applyAlignment="1" applyBorder="1" applyFont="1" applyNumberFormat="1">
      <alignment horizontal="center" vertical="center"/>
    </xf>
    <xf borderId="32" fillId="0" fontId="1" numFmtId="3" xfId="0" applyAlignment="1" applyBorder="1" applyFont="1" applyNumberFormat="1">
      <alignment horizontal="center" vertical="center"/>
    </xf>
    <xf borderId="17" fillId="0" fontId="2" numFmtId="16" xfId="0" applyAlignment="1" applyBorder="1" applyFont="1" applyNumberFormat="1">
      <alignment horizontal="center"/>
    </xf>
    <xf borderId="18" fillId="0" fontId="3" numFmtId="164" xfId="0" applyAlignment="1" applyBorder="1" applyFont="1" applyNumberFormat="1">
      <alignment horizontal="right" shrinkToFit="0" vertical="center" wrapText="1"/>
    </xf>
    <xf borderId="20" fillId="6" fontId="2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8.43"/>
    <col customWidth="1" min="2" max="2" width="11.86"/>
    <col customWidth="1" min="3" max="3" width="11.43"/>
    <col customWidth="1" min="4" max="4" width="10.14"/>
    <col customWidth="1" min="5" max="6" width="11.86"/>
    <col customWidth="1" hidden="1" min="7" max="7" width="12.29"/>
    <col customWidth="1" min="8" max="8" width="13.86"/>
    <col customWidth="1" min="9" max="9" width="15.57"/>
    <col customWidth="1" min="10" max="10" width="15.29"/>
    <col customWidth="1" min="11" max="11" width="15.86"/>
    <col customWidth="1" min="12" max="12" width="13.43"/>
    <col customWidth="1" min="13" max="13" width="10.14"/>
    <col customWidth="1" hidden="1" min="14" max="14" width="14.57"/>
    <col customWidth="1" min="15" max="18" width="14.57"/>
    <col customWidth="1" min="19" max="19" width="14.71"/>
    <col customWidth="1" min="20" max="20" width="17.29"/>
    <col customWidth="1" min="21" max="21" width="14.86"/>
    <col customWidth="1" min="22" max="26" width="8.71"/>
  </cols>
  <sheetData>
    <row r="1" ht="54.0" customHeight="1">
      <c r="A1" s="1">
        <v>2025.0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5" t="s">
        <v>19</v>
      </c>
    </row>
    <row r="2" ht="14.25" customHeight="1">
      <c r="A2" s="6" t="s">
        <v>20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>
        <f t="shared" ref="T2:T14" si="1">SUM(B2:S2)</f>
        <v>0</v>
      </c>
      <c r="U2" s="10"/>
    </row>
    <row r="3" ht="14.25" customHeight="1">
      <c r="A3" s="11" t="s">
        <v>21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>
        <f t="shared" si="1"/>
        <v>0</v>
      </c>
      <c r="U3" s="15">
        <f t="shared" ref="U3:U13" si="2">T3-T2</f>
        <v>0</v>
      </c>
    </row>
    <row r="4" ht="14.25" customHeight="1">
      <c r="A4" s="11" t="s">
        <v>22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>
        <f t="shared" si="1"/>
        <v>0</v>
      </c>
      <c r="U4" s="15">
        <f t="shared" si="2"/>
        <v>0</v>
      </c>
    </row>
    <row r="5" ht="14.25" customHeight="1">
      <c r="A5" s="11" t="s">
        <v>23</v>
      </c>
      <c r="B5" s="16">
        <v>2353209.66</v>
      </c>
      <c r="C5" s="17">
        <v>191669.0</v>
      </c>
      <c r="D5" s="17">
        <v>172835.0</v>
      </c>
      <c r="E5" s="17">
        <v>1599750.0</v>
      </c>
      <c r="F5" s="17">
        <v>1597860.0</v>
      </c>
      <c r="G5" s="18">
        <v>500000.0</v>
      </c>
      <c r="H5" s="17">
        <v>39916.0</v>
      </c>
      <c r="I5" s="17">
        <v>174341.0</v>
      </c>
      <c r="J5" s="17">
        <v>1981.15</v>
      </c>
      <c r="K5" s="17">
        <v>250000.0</v>
      </c>
      <c r="L5" s="17">
        <v>216849.0</v>
      </c>
      <c r="M5" s="17">
        <v>256842.0</v>
      </c>
      <c r="N5" s="18">
        <v>250000.0</v>
      </c>
      <c r="O5" s="17">
        <v>0.0</v>
      </c>
      <c r="P5" s="17">
        <v>0.0</v>
      </c>
      <c r="Q5" s="17">
        <v>0.0</v>
      </c>
      <c r="R5" s="17">
        <v>0.0</v>
      </c>
      <c r="S5" s="17">
        <v>243435.0</v>
      </c>
      <c r="T5" s="19">
        <f t="shared" si="1"/>
        <v>7848687.81</v>
      </c>
      <c r="U5" s="20">
        <f t="shared" si="2"/>
        <v>7848687.81</v>
      </c>
    </row>
    <row r="6" ht="14.25" customHeight="1">
      <c r="A6" s="11" t="s">
        <v>24</v>
      </c>
      <c r="B6" s="16">
        <v>2367327.0</v>
      </c>
      <c r="C6" s="17">
        <v>203015.0</v>
      </c>
      <c r="D6" s="17">
        <v>164666.0</v>
      </c>
      <c r="E6" s="17">
        <v>1612264.0</v>
      </c>
      <c r="F6" s="17">
        <v>1613387.0</v>
      </c>
      <c r="G6" s="18">
        <v>500000.0</v>
      </c>
      <c r="H6" s="17">
        <v>60765.0</v>
      </c>
      <c r="I6" s="17">
        <v>184439.0</v>
      </c>
      <c r="J6" s="17">
        <v>1969.0</v>
      </c>
      <c r="K6" s="17">
        <v>250000.0</v>
      </c>
      <c r="L6" s="17">
        <v>227503.0</v>
      </c>
      <c r="M6" s="17">
        <v>258542.0</v>
      </c>
      <c r="N6" s="18">
        <v>245000.0</v>
      </c>
      <c r="O6" s="17">
        <v>0.0</v>
      </c>
      <c r="P6" s="17">
        <v>0.0</v>
      </c>
      <c r="Q6" s="17">
        <v>0.0</v>
      </c>
      <c r="R6" s="17">
        <v>0.0</v>
      </c>
      <c r="S6" s="17">
        <v>253339.0</v>
      </c>
      <c r="T6" s="19">
        <f t="shared" si="1"/>
        <v>7942216</v>
      </c>
      <c r="U6" s="20">
        <f t="shared" si="2"/>
        <v>93528.19</v>
      </c>
    </row>
    <row r="7" ht="14.25" customHeight="1">
      <c r="A7" s="11" t="s">
        <v>25</v>
      </c>
      <c r="B7" s="16">
        <v>2398797.0</v>
      </c>
      <c r="C7" s="17">
        <v>310893.0</v>
      </c>
      <c r="D7" s="17">
        <v>148938.0</v>
      </c>
      <c r="E7" s="17">
        <v>1622236.0</v>
      </c>
      <c r="F7" s="17">
        <v>2035750.0</v>
      </c>
      <c r="G7" s="18">
        <v>0.0</v>
      </c>
      <c r="H7" s="17">
        <v>39016.0</v>
      </c>
      <c r="I7" s="17">
        <v>198663.0</v>
      </c>
      <c r="J7" s="17">
        <v>3945.0</v>
      </c>
      <c r="K7" s="17">
        <v>495592.0</v>
      </c>
      <c r="L7" s="17">
        <v>232838.0</v>
      </c>
      <c r="M7" s="17">
        <v>262596.0</v>
      </c>
      <c r="N7" s="18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264387.0</v>
      </c>
      <c r="T7" s="19">
        <f t="shared" si="1"/>
        <v>8013651</v>
      </c>
      <c r="U7" s="20">
        <f t="shared" si="2"/>
        <v>71435</v>
      </c>
    </row>
    <row r="8" ht="14.25" customHeight="1">
      <c r="A8" s="11" t="s">
        <v>26</v>
      </c>
      <c r="B8" s="16">
        <v>2420452.0</v>
      </c>
      <c r="C8" s="17">
        <v>328192.0</v>
      </c>
      <c r="D8" s="17">
        <v>152550.0</v>
      </c>
      <c r="E8" s="17">
        <v>1630703.0</v>
      </c>
      <c r="F8" s="17">
        <v>2057565.0</v>
      </c>
      <c r="G8" s="18"/>
      <c r="H8" s="17">
        <v>47053.0</v>
      </c>
      <c r="I8" s="17">
        <v>210431.0</v>
      </c>
      <c r="J8" s="17">
        <v>5908.0</v>
      </c>
      <c r="K8" s="17">
        <v>496631.0</v>
      </c>
      <c r="L8" s="17">
        <v>240142.0</v>
      </c>
      <c r="M8" s="17">
        <v>264296.0</v>
      </c>
      <c r="N8" s="18"/>
      <c r="O8" s="17">
        <v>0.0</v>
      </c>
      <c r="P8" s="17">
        <v>0.0</v>
      </c>
      <c r="Q8" s="17">
        <v>0.0</v>
      </c>
      <c r="R8" s="17">
        <v>0.0</v>
      </c>
      <c r="S8" s="17">
        <v>273535.0</v>
      </c>
      <c r="T8" s="19">
        <f t="shared" si="1"/>
        <v>8127458</v>
      </c>
      <c r="U8" s="20">
        <f t="shared" si="2"/>
        <v>113807</v>
      </c>
    </row>
    <row r="9" ht="14.25" customHeight="1">
      <c r="A9" s="11" t="s">
        <v>27</v>
      </c>
      <c r="B9" s="16">
        <v>2439922.0</v>
      </c>
      <c r="C9" s="17">
        <v>334785.0</v>
      </c>
      <c r="D9" s="17">
        <v>151500.0</v>
      </c>
      <c r="E9" s="17">
        <v>1642471.0</v>
      </c>
      <c r="F9" s="17">
        <v>2076449.0</v>
      </c>
      <c r="G9" s="18"/>
      <c r="H9" s="17">
        <v>44352.0</v>
      </c>
      <c r="I9" s="17">
        <v>226387.0</v>
      </c>
      <c r="J9" s="17">
        <v>7927.0</v>
      </c>
      <c r="K9" s="17">
        <v>497707.0</v>
      </c>
      <c r="L9" s="17">
        <v>247980.0</v>
      </c>
      <c r="M9" s="17">
        <v>267330.0</v>
      </c>
      <c r="N9" s="18"/>
      <c r="O9" s="17">
        <v>0.0</v>
      </c>
      <c r="P9" s="17">
        <v>0.0</v>
      </c>
      <c r="Q9" s="17">
        <v>0.0</v>
      </c>
      <c r="R9" s="17">
        <v>0.0</v>
      </c>
      <c r="S9" s="17">
        <v>279160.0</v>
      </c>
      <c r="T9" s="19">
        <f t="shared" si="1"/>
        <v>8215970</v>
      </c>
      <c r="U9" s="20">
        <f t="shared" si="2"/>
        <v>88512</v>
      </c>
    </row>
    <row r="10" ht="14.25" customHeight="1">
      <c r="A10" s="11" t="s">
        <v>28</v>
      </c>
      <c r="B10" s="16">
        <v>2469155.0</v>
      </c>
      <c r="C10" s="17">
        <v>346000.0</v>
      </c>
      <c r="D10" s="17">
        <v>144049.0</v>
      </c>
      <c r="E10" s="17">
        <v>1651140.0</v>
      </c>
      <c r="F10" s="17">
        <v>2107869.0</v>
      </c>
      <c r="G10" s="18"/>
      <c r="H10" s="17">
        <v>36657.0</v>
      </c>
      <c r="I10" s="17">
        <v>238125.0</v>
      </c>
      <c r="J10" s="17">
        <v>9840.0</v>
      </c>
      <c r="K10" s="17">
        <v>454818.0</v>
      </c>
      <c r="L10" s="17">
        <v>254122.0</v>
      </c>
      <c r="M10" s="17">
        <v>270717.0</v>
      </c>
      <c r="N10" s="18"/>
      <c r="O10" s="17">
        <v>0.0</v>
      </c>
      <c r="P10" s="17">
        <v>0.0</v>
      </c>
      <c r="Q10" s="17">
        <v>0.0</v>
      </c>
      <c r="R10" s="17">
        <v>0.0</v>
      </c>
      <c r="S10" s="17">
        <v>285908.0</v>
      </c>
      <c r="T10" s="19">
        <f t="shared" si="1"/>
        <v>8268400</v>
      </c>
      <c r="U10" s="20">
        <f t="shared" si="2"/>
        <v>52430</v>
      </c>
    </row>
    <row r="11" ht="14.25" customHeight="1">
      <c r="A11" s="11" t="s">
        <v>29</v>
      </c>
      <c r="B11" s="16">
        <v>2492371.0</v>
      </c>
      <c r="C11" s="17">
        <v>369832.0</v>
      </c>
      <c r="D11" s="17">
        <v>146555.0</v>
      </c>
      <c r="E11" s="17">
        <v>1662545.0</v>
      </c>
      <c r="F11" s="17">
        <v>2129812.0</v>
      </c>
      <c r="G11" s="18"/>
      <c r="H11" s="17">
        <v>36547.0</v>
      </c>
      <c r="I11" s="17">
        <v>243747.0</v>
      </c>
      <c r="J11" s="17">
        <v>11913.0</v>
      </c>
      <c r="K11" s="17">
        <v>455772.0</v>
      </c>
      <c r="L11" s="17">
        <v>262330.0</v>
      </c>
      <c r="M11" s="17">
        <v>273084.0</v>
      </c>
      <c r="N11" s="18"/>
      <c r="O11" s="17">
        <v>0.0</v>
      </c>
      <c r="P11" s="17">
        <v>0.0</v>
      </c>
      <c r="Q11" s="17">
        <v>0.0</v>
      </c>
      <c r="R11" s="17">
        <v>0.0</v>
      </c>
      <c r="S11" s="17">
        <v>294801.0</v>
      </c>
      <c r="T11" s="19">
        <f t="shared" si="1"/>
        <v>8379309</v>
      </c>
      <c r="U11" s="20">
        <f t="shared" si="2"/>
        <v>110909</v>
      </c>
    </row>
    <row r="12" ht="14.25" customHeight="1">
      <c r="A12" s="11" t="s">
        <v>30</v>
      </c>
      <c r="B12" s="16">
        <v>2503765.0</v>
      </c>
      <c r="C12" s="17">
        <v>371029.0</v>
      </c>
      <c r="D12" s="17">
        <v>148202.0</v>
      </c>
      <c r="E12" s="17">
        <v>1706579.0</v>
      </c>
      <c r="F12" s="17">
        <v>2128149.0</v>
      </c>
      <c r="G12" s="18"/>
      <c r="H12" s="17">
        <v>26307.0</v>
      </c>
      <c r="I12" s="17">
        <v>256376.0</v>
      </c>
      <c r="J12" s="17">
        <v>13810.0</v>
      </c>
      <c r="K12" s="17">
        <v>456759.0</v>
      </c>
      <c r="L12" s="17">
        <v>271117.0</v>
      </c>
      <c r="M12" s="17">
        <v>282289.0</v>
      </c>
      <c r="N12" s="18"/>
      <c r="O12" s="17">
        <v>0.0</v>
      </c>
      <c r="P12" s="17">
        <v>0.0</v>
      </c>
      <c r="Q12" s="17">
        <v>0.0</v>
      </c>
      <c r="R12" s="17">
        <v>0.0</v>
      </c>
      <c r="S12" s="17">
        <v>300413.0</v>
      </c>
      <c r="T12" s="19">
        <f t="shared" si="1"/>
        <v>8464795</v>
      </c>
      <c r="U12" s="20">
        <f t="shared" si="2"/>
        <v>85486</v>
      </c>
    </row>
    <row r="13" ht="14.25" customHeight="1">
      <c r="A13" s="21" t="s">
        <v>31</v>
      </c>
      <c r="B13" s="22">
        <v>2502925.0</v>
      </c>
      <c r="C13" s="23">
        <v>369598.0</v>
      </c>
      <c r="D13" s="23">
        <v>149761.0</v>
      </c>
      <c r="E13" s="23">
        <v>1791140.0</v>
      </c>
      <c r="F13" s="23">
        <v>2102146.0</v>
      </c>
      <c r="G13" s="24"/>
      <c r="H13" s="23">
        <v>36248.0</v>
      </c>
      <c r="I13" s="23">
        <v>259439.0</v>
      </c>
      <c r="J13" s="23">
        <v>15860.0</v>
      </c>
      <c r="K13" s="23">
        <v>457716.0</v>
      </c>
      <c r="L13" s="23">
        <v>277287.0</v>
      </c>
      <c r="M13" s="23">
        <v>285322.0</v>
      </c>
      <c r="N13" s="24"/>
      <c r="O13" s="23">
        <v>0.0</v>
      </c>
      <c r="P13" s="23">
        <v>0.0</v>
      </c>
      <c r="Q13" s="23">
        <v>277877.0</v>
      </c>
      <c r="R13" s="23">
        <v>0.0</v>
      </c>
      <c r="S13" s="23">
        <v>300435.0</v>
      </c>
      <c r="T13" s="25">
        <f t="shared" si="1"/>
        <v>8825754</v>
      </c>
      <c r="U13" s="20">
        <f t="shared" si="2"/>
        <v>360959</v>
      </c>
    </row>
    <row r="14" ht="14.25" customHeight="1">
      <c r="A14" s="26" t="s">
        <v>32</v>
      </c>
      <c r="B14" s="27">
        <f t="array" ref="B14">LOOKUP(2,1/NOT(ISBLANK(B2:B13)),B2:B13)</f>
        <v>2502925</v>
      </c>
      <c r="C14" s="27">
        <f t="array" ref="C14">LOOKUP(2,1/NOT(ISBLANK(C2:C13)),C2:C13)</f>
        <v>369598</v>
      </c>
      <c r="D14" s="27">
        <f t="array" ref="D14">LOOKUP(2,1/NOT(ISBLANK(D2:D13)),D2:D13)</f>
        <v>149761</v>
      </c>
      <c r="E14" s="27">
        <f t="array" ref="E14">LOOKUP(2,1/NOT(ISBLANK(E2:E13)),E2:E13)</f>
        <v>1791140</v>
      </c>
      <c r="F14" s="27">
        <f t="array" ref="F14">LOOKUP(2,1/NOT(ISBLANK(F2:F13)),F2:F13)</f>
        <v>2102146</v>
      </c>
      <c r="G14" s="28">
        <f t="array" ref="G14">LOOKUP(2,1/NOT(ISBLANK(G2:G13)),G2:G13)</f>
        <v>0</v>
      </c>
      <c r="H14" s="27">
        <f t="array" ref="H14">LOOKUP(2,1/NOT(ISBLANK(H2:H13)),H2:H13)</f>
        <v>36248</v>
      </c>
      <c r="I14" s="27">
        <f t="array" ref="I14">LOOKUP(2,1/NOT(ISBLANK(I2:I13)),I2:I13)</f>
        <v>259439</v>
      </c>
      <c r="J14" s="27">
        <f t="array" ref="J14">LOOKUP(2,1/NOT(ISBLANK(J2:J13)),J2:J13)</f>
        <v>15860</v>
      </c>
      <c r="K14" s="27">
        <f t="array" ref="K14">LOOKUP(2,1/NOT(ISBLANK(K2:K13)),K2:K13)</f>
        <v>457716</v>
      </c>
      <c r="L14" s="27">
        <f t="array" ref="L14">LOOKUP(2,1/NOT(ISBLANK(L2:L13)),L2:L13)</f>
        <v>277287</v>
      </c>
      <c r="M14" s="27">
        <f t="array" ref="M14">LOOKUP(2,1/NOT(ISBLANK(M2:M13)),M2:M13)</f>
        <v>285322</v>
      </c>
      <c r="N14" s="27">
        <f t="array" ref="N14">LOOKUP(2,1/NOT(ISBLANK(N2:N13)),N2:N13)</f>
        <v>0</v>
      </c>
      <c r="O14" s="27">
        <f t="array" ref="O14">LOOKUP(2,1/NOT(ISBLANK(O2:O13)),O2:O13)</f>
        <v>0</v>
      </c>
      <c r="P14" s="27">
        <f t="array" ref="P14">LOOKUP(2,1/NOT(ISBLANK(P2:P13)),P2:P13)</f>
        <v>0</v>
      </c>
      <c r="Q14" s="27">
        <f t="array" ref="Q14">LOOKUP(2,1/NOT(ISBLANK(Q2:Q13)),Q2:Q13)</f>
        <v>277877</v>
      </c>
      <c r="R14" s="27">
        <f t="array" ref="R14">LOOKUP(2,1/NOT(ISBLANK(R2:R13)),R2:R13)</f>
        <v>0</v>
      </c>
      <c r="S14" s="27">
        <f t="array" ref="S14">LOOKUP(2,1/NOT(ISBLANK(S2:S13)),S2:S13)</f>
        <v>300435</v>
      </c>
      <c r="T14" s="29">
        <f t="shared" si="1"/>
        <v>8825754</v>
      </c>
      <c r="U14" s="30">
        <f>SUM(U2:U13)</f>
        <v>8825754</v>
      </c>
    </row>
    <row r="15" ht="14.25" customHeight="1"/>
    <row r="16" ht="25.5" customHeight="1">
      <c r="A16" s="31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/>
      <c r="U16" s="35"/>
      <c r="V16" s="35"/>
      <c r="W16" s="35"/>
      <c r="X16" s="35"/>
      <c r="Y16" s="35"/>
      <c r="Z16" s="35"/>
    </row>
    <row r="17" ht="14.25" customHeight="1"/>
    <row r="18" ht="14.25" customHeight="1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</row>
    <row r="19" ht="14.25" customHeight="1">
      <c r="A19" s="38"/>
      <c r="B19" s="39"/>
      <c r="C19" s="39"/>
      <c r="D19" s="39"/>
      <c r="E19" s="39"/>
    </row>
    <row r="20" ht="14.25" customHeight="1">
      <c r="B20" s="40"/>
      <c r="C20" s="40"/>
      <c r="D20" s="40"/>
      <c r="E20" s="41"/>
      <c r="K20" s="42"/>
    </row>
    <row r="21" ht="14.25" customHeight="1">
      <c r="B21" s="4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9.0"/>
    <col customWidth="1" min="2" max="3" width="13.71"/>
    <col customWidth="1" min="4" max="4" width="13.57"/>
    <col customWidth="1" min="5" max="5" width="13.71"/>
    <col customWidth="1" min="6" max="6" width="12.0"/>
    <col customWidth="1" min="7" max="7" width="13.14"/>
    <col customWidth="1" min="8" max="8" width="10.86"/>
    <col customWidth="1" min="9" max="10" width="12.0"/>
    <col customWidth="1" min="11" max="11" width="13.14"/>
    <col customWidth="1" min="12" max="12" width="12.0"/>
    <col customWidth="1" min="13" max="13" width="11.29"/>
    <col customWidth="1" min="14" max="14" width="11.14"/>
    <col customWidth="1" min="15" max="15" width="13.71"/>
    <col customWidth="1" min="16" max="16" width="12.0"/>
    <col customWidth="1" min="17" max="17" width="13.71"/>
    <col customWidth="1" min="18" max="18" width="12.0"/>
    <col customWidth="1" min="19" max="19" width="10.43"/>
    <col customWidth="1" min="20" max="20" width="10.29"/>
    <col customWidth="1" min="21" max="25" width="8.71"/>
  </cols>
  <sheetData>
    <row r="1">
      <c r="A1" s="43">
        <v>2026.0</v>
      </c>
      <c r="B1" s="44" t="s">
        <v>0</v>
      </c>
      <c r="C1" s="44" t="s">
        <v>33</v>
      </c>
      <c r="D1" s="44" t="s">
        <v>34</v>
      </c>
      <c r="E1" s="44" t="s">
        <v>3</v>
      </c>
      <c r="F1" s="44" t="s">
        <v>2</v>
      </c>
      <c r="G1" s="44" t="s">
        <v>35</v>
      </c>
      <c r="H1" s="44" t="s">
        <v>6</v>
      </c>
      <c r="I1" s="44" t="s">
        <v>36</v>
      </c>
      <c r="J1" s="44" t="s">
        <v>37</v>
      </c>
      <c r="K1" s="44" t="s">
        <v>10</v>
      </c>
      <c r="L1" s="44" t="s">
        <v>38</v>
      </c>
      <c r="M1" s="45" t="s">
        <v>39</v>
      </c>
      <c r="N1" s="45" t="s">
        <v>40</v>
      </c>
      <c r="O1" s="45" t="s">
        <v>14</v>
      </c>
      <c r="P1" s="45" t="s">
        <v>41</v>
      </c>
      <c r="Q1" s="45" t="s">
        <v>16</v>
      </c>
      <c r="R1" s="44" t="s">
        <v>17</v>
      </c>
      <c r="S1" s="46" t="s">
        <v>42</v>
      </c>
      <c r="T1" s="47" t="s">
        <v>19</v>
      </c>
    </row>
    <row r="2" ht="14.25" customHeight="1">
      <c r="A2" s="6" t="s">
        <v>20</v>
      </c>
      <c r="B2" s="48">
        <v>2514085.0</v>
      </c>
      <c r="C2" s="49">
        <v>2095308.0</v>
      </c>
      <c r="D2" s="49">
        <v>0.0</v>
      </c>
      <c r="E2" s="49">
        <v>1916638.0</v>
      </c>
      <c r="F2" s="49">
        <v>147775.0</v>
      </c>
      <c r="G2" s="49">
        <v>370368.0</v>
      </c>
      <c r="H2" s="49">
        <v>50173.0</v>
      </c>
      <c r="I2" s="49">
        <v>269900.0</v>
      </c>
      <c r="J2" s="49">
        <v>458707.0</v>
      </c>
      <c r="K2" s="49">
        <v>291397.0</v>
      </c>
      <c r="L2" s="49">
        <v>292440.0</v>
      </c>
      <c r="M2" s="49">
        <v>4988.0</v>
      </c>
      <c r="N2" s="49">
        <v>0.0</v>
      </c>
      <c r="O2" s="49">
        <v>0.0</v>
      </c>
      <c r="P2" s="49">
        <v>277877.0</v>
      </c>
      <c r="Q2" s="49">
        <v>0.0</v>
      </c>
      <c r="R2" s="49">
        <v>304458.0</v>
      </c>
      <c r="S2" s="50">
        <f t="shared" ref="S2:S13" si="1">SUM(B2:R2)</f>
        <v>8994114</v>
      </c>
      <c r="T2" s="51">
        <v>8825754.0</v>
      </c>
    </row>
    <row r="3" ht="14.25" customHeight="1">
      <c r="A3" s="11" t="s">
        <v>21</v>
      </c>
      <c r="B3" s="52">
        <v>2525396.0</v>
      </c>
      <c r="C3" s="53">
        <v>2093172.0</v>
      </c>
      <c r="D3" s="53">
        <v>0.0</v>
      </c>
      <c r="E3" s="53">
        <v>1935545.0</v>
      </c>
      <c r="F3" s="53">
        <v>152456.0</v>
      </c>
      <c r="G3" s="53">
        <v>387286.0</v>
      </c>
      <c r="H3" s="53">
        <v>20554.0</v>
      </c>
      <c r="I3" s="53">
        <v>304361.0</v>
      </c>
      <c r="J3" s="53">
        <v>450032.0</v>
      </c>
      <c r="K3" s="53">
        <v>294577.0</v>
      </c>
      <c r="L3" s="53">
        <v>296090.0</v>
      </c>
      <c r="M3" s="53">
        <v>10061.0</v>
      </c>
      <c r="N3" s="53">
        <v>5000.0</v>
      </c>
      <c r="O3" s="53">
        <v>15000.0</v>
      </c>
      <c r="P3" s="53">
        <v>277877.0</v>
      </c>
      <c r="Q3" s="53">
        <v>5000.0</v>
      </c>
      <c r="R3" s="53">
        <v>312684.0</v>
      </c>
      <c r="S3" s="54">
        <f t="shared" si="1"/>
        <v>9085091</v>
      </c>
      <c r="T3" s="55">
        <f t="shared" ref="T3:T13" si="2">S3-S2</f>
        <v>90977</v>
      </c>
    </row>
    <row r="4" ht="14.25" customHeight="1">
      <c r="A4" s="11" t="s">
        <v>22</v>
      </c>
      <c r="B4" s="56">
        <v>2550204.0</v>
      </c>
      <c r="C4" s="57">
        <v>2003368.0</v>
      </c>
      <c r="D4" s="57">
        <v>88502.0</v>
      </c>
      <c r="E4" s="57">
        <v>1936586.0</v>
      </c>
      <c r="F4" s="57">
        <v>145119.0</v>
      </c>
      <c r="G4" s="57">
        <v>402772.0</v>
      </c>
      <c r="H4" s="57">
        <v>11627.0</v>
      </c>
      <c r="I4" s="57">
        <v>287160.0</v>
      </c>
      <c r="J4" s="57">
        <v>452534.0</v>
      </c>
      <c r="K4" s="57">
        <v>291540.0</v>
      </c>
      <c r="L4" s="57">
        <v>274591.0</v>
      </c>
      <c r="M4" s="57">
        <v>14755.0</v>
      </c>
      <c r="N4" s="57">
        <v>9989.0</v>
      </c>
      <c r="O4" s="57">
        <v>20000.0</v>
      </c>
      <c r="P4" s="57">
        <v>277877.0</v>
      </c>
      <c r="Q4" s="57">
        <v>15041.0</v>
      </c>
      <c r="R4" s="57">
        <v>311475.0</v>
      </c>
      <c r="S4" s="54">
        <f t="shared" si="1"/>
        <v>9093140</v>
      </c>
      <c r="T4" s="55">
        <f t="shared" si="2"/>
        <v>8049</v>
      </c>
    </row>
    <row r="5" ht="14.25" customHeight="1">
      <c r="A5" s="11" t="s">
        <v>23</v>
      </c>
      <c r="B5" s="58">
        <v>2565601.0</v>
      </c>
      <c r="C5" s="59">
        <v>1996730.0</v>
      </c>
      <c r="D5" s="59">
        <v>88500.0</v>
      </c>
      <c r="E5" s="59">
        <v>1946688.0</v>
      </c>
      <c r="F5" s="59">
        <v>144052.0</v>
      </c>
      <c r="G5" s="59">
        <v>450618.0</v>
      </c>
      <c r="H5" s="59">
        <v>29000.0</v>
      </c>
      <c r="I5" s="59">
        <v>312369.0</v>
      </c>
      <c r="J5" s="59">
        <v>452534.0</v>
      </c>
      <c r="K5" s="59">
        <v>306921.0</v>
      </c>
      <c r="L5" s="59">
        <v>309705.0</v>
      </c>
      <c r="M5" s="59">
        <v>21753.0</v>
      </c>
      <c r="N5" s="59">
        <v>14846.0</v>
      </c>
      <c r="O5" s="59">
        <v>25100.0</v>
      </c>
      <c r="P5" s="59">
        <v>277877.0</v>
      </c>
      <c r="Q5" s="59">
        <v>225041.0</v>
      </c>
      <c r="R5" s="59">
        <v>325207.0</v>
      </c>
      <c r="S5" s="60">
        <f t="shared" si="1"/>
        <v>9492542</v>
      </c>
      <c r="T5" s="61">
        <f t="shared" si="2"/>
        <v>399402</v>
      </c>
    </row>
    <row r="6" ht="14.25" customHeight="1">
      <c r="A6" s="11" t="s">
        <v>24</v>
      </c>
      <c r="B6" s="6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60">
        <f t="shared" si="1"/>
        <v>0</v>
      </c>
      <c r="T6" s="61">
        <f t="shared" si="2"/>
        <v>-9492542</v>
      </c>
    </row>
    <row r="7" ht="14.25" customHeight="1">
      <c r="A7" s="11" t="s">
        <v>25</v>
      </c>
      <c r="B7" s="62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60">
        <f t="shared" si="1"/>
        <v>0</v>
      </c>
      <c r="T7" s="61">
        <f t="shared" si="2"/>
        <v>0</v>
      </c>
    </row>
    <row r="8" ht="14.25" customHeight="1">
      <c r="A8" s="11" t="s">
        <v>26</v>
      </c>
      <c r="B8" s="62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60">
        <f t="shared" si="1"/>
        <v>0</v>
      </c>
      <c r="T8" s="61">
        <f t="shared" si="2"/>
        <v>0</v>
      </c>
    </row>
    <row r="9" ht="14.25" customHeight="1">
      <c r="A9" s="11" t="s">
        <v>27</v>
      </c>
      <c r="B9" s="62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60">
        <f t="shared" si="1"/>
        <v>0</v>
      </c>
      <c r="T9" s="61">
        <f t="shared" si="2"/>
        <v>0</v>
      </c>
    </row>
    <row r="10" ht="14.25" customHeight="1">
      <c r="A10" s="11" t="s">
        <v>28</v>
      </c>
      <c r="B10" s="6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60">
        <f t="shared" si="1"/>
        <v>0</v>
      </c>
      <c r="T10" s="61">
        <f t="shared" si="2"/>
        <v>0</v>
      </c>
    </row>
    <row r="11" ht="14.25" customHeight="1">
      <c r="A11" s="11" t="s">
        <v>29</v>
      </c>
      <c r="B11" s="6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60">
        <f t="shared" si="1"/>
        <v>0</v>
      </c>
      <c r="T11" s="61">
        <f t="shared" si="2"/>
        <v>0</v>
      </c>
    </row>
    <row r="12" ht="14.25" customHeight="1">
      <c r="A12" s="11" t="s">
        <v>30</v>
      </c>
      <c r="B12" s="6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60">
        <f t="shared" si="1"/>
        <v>0</v>
      </c>
      <c r="T12" s="61">
        <f t="shared" si="2"/>
        <v>0</v>
      </c>
    </row>
    <row r="13" ht="14.25" customHeight="1">
      <c r="A13" s="21" t="s">
        <v>31</v>
      </c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>
        <f t="shared" si="1"/>
        <v>0</v>
      </c>
      <c r="T13" s="61">
        <f t="shared" si="2"/>
        <v>0</v>
      </c>
    </row>
    <row r="14" ht="14.25" customHeight="1">
      <c r="A14" s="66" t="s">
        <v>32</v>
      </c>
      <c r="B14" s="67">
        <f t="array" ref="B14">LOOKUP(2,1/NOT(ISBLANK(B2:B13)),B2:B13)</f>
        <v>2565601</v>
      </c>
      <c r="C14" s="27">
        <f t="array" ref="C14">LOOKUP(2,1/NOT(ISBLANK(C2:C13)),C2:C13)</f>
        <v>1996730</v>
      </c>
      <c r="D14" s="27">
        <f t="array" ref="D14">LOOKUP(2,1/NOT(ISBLANK(D2:D13)),D2:D13)</f>
        <v>88500</v>
      </c>
      <c r="E14" s="27">
        <f t="array" ref="E14">LOOKUP(2,1/NOT(ISBLANK(E2:E13)),E2:E13)</f>
        <v>1946688</v>
      </c>
      <c r="F14" s="27">
        <f t="array" ref="F14">LOOKUP(2,1/NOT(ISBLANK(F2:F13)),F2:F13)</f>
        <v>144052</v>
      </c>
      <c r="G14" s="27">
        <f t="array" ref="G14">LOOKUP(2,1/NOT(ISBLANK(G2:G13)),G2:G13)</f>
        <v>450618</v>
      </c>
      <c r="H14" s="27">
        <f t="array" ref="H14">LOOKUP(2,1/NOT(ISBLANK(H2:H13)),H2:H13)</f>
        <v>29000</v>
      </c>
      <c r="I14" s="27">
        <f t="array" ref="I14">LOOKUP(2,1/NOT(ISBLANK(I2:I13)),I2:I13)</f>
        <v>312369</v>
      </c>
      <c r="J14" s="27">
        <f t="array" ref="J14">LOOKUP(2,1/NOT(ISBLANK(J2:J13)),J2:J13)</f>
        <v>452534</v>
      </c>
      <c r="K14" s="27">
        <f t="array" ref="K14">LOOKUP(2,1/NOT(ISBLANK(K2:K13)),K2:K13)</f>
        <v>306921</v>
      </c>
      <c r="L14" s="27">
        <f t="array" ref="L14">LOOKUP(2,1/NOT(ISBLANK(L2:L13)),L2:L13)</f>
        <v>309705</v>
      </c>
      <c r="M14" s="27">
        <f t="array" ref="M14">LOOKUP(2,1/NOT(ISBLANK(M2:M13)),M2:M13)</f>
        <v>21753</v>
      </c>
      <c r="N14" s="27">
        <f t="array" ref="N14">LOOKUP(2,1/NOT(ISBLANK(N2:N13)),N2:N13)</f>
        <v>14846</v>
      </c>
      <c r="O14" s="27">
        <f t="array" ref="O14">LOOKUP(2,1/NOT(ISBLANK(O2:O13)),O2:O13)</f>
        <v>25100</v>
      </c>
      <c r="P14" s="27">
        <f t="array" ref="P14">LOOKUP(2,1/NOT(ISBLANK(P2:P13)),P2:P13)</f>
        <v>277877</v>
      </c>
      <c r="Q14" s="27">
        <f t="array" ref="Q14">LOOKUP(2,1/NOT(ISBLANK(Q2:Q13)),Q2:Q13)</f>
        <v>225041</v>
      </c>
      <c r="R14" s="27">
        <f t="array" ref="R14">LOOKUP(2,1/NOT(ISBLANK(R2:R13)),R2:R13)</f>
        <v>325207</v>
      </c>
      <c r="S14" s="29"/>
      <c r="T14" s="68"/>
      <c r="U14" s="69"/>
      <c r="V14" s="69"/>
      <c r="W14" s="69"/>
      <c r="X14" s="69"/>
      <c r="Y14" s="69"/>
    </row>
    <row r="15" ht="14.25" customHeight="1"/>
    <row r="16" ht="14.25" customHeight="1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7"/>
    </row>
    <row r="17" ht="14.25" customHeight="1">
      <c r="A17" s="38"/>
      <c r="B17" s="39"/>
      <c r="C17" s="39"/>
      <c r="D17" s="39"/>
      <c r="E17" s="39"/>
      <c r="F17" s="39"/>
    </row>
    <row r="18" ht="14.25" customHeight="1">
      <c r="B18" s="40"/>
      <c r="C18" s="40"/>
      <c r="D18" s="40"/>
      <c r="E18" s="40"/>
      <c r="F18" s="41"/>
      <c r="J18" s="42"/>
    </row>
    <row r="19" ht="14.25" customHeight="1">
      <c r="B19" s="4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87401575" footer="0.0" header="0.0" left="0.7" right="0.7" top="0.78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2023-02-03T06:35:41Z</dcterms:created>
  <dc:creator>Procházka, Marek</dc:creator>
</cp:coreProperties>
</file>